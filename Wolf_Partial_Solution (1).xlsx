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m\Downloads\"/>
    </mc:Choice>
  </mc:AlternateContent>
  <xr:revisionPtr revIDLastSave="0" documentId="8_{5206CFB0-52A5-497A-9132-F197996F3A92}" xr6:coauthVersionLast="47" xr6:coauthVersionMax="47" xr10:uidLastSave="{00000000-0000-0000-0000-000000000000}"/>
  <bookViews>
    <workbookView xWindow="-110" yWindow="-110" windowWidth="19420" windowHeight="11500" tabRatio="804" xr2:uid="{00000000-000D-0000-FFFF-FFFF00000000}"/>
  </bookViews>
  <sheets>
    <sheet name="OtherOptimalSolutions" sheetId="3" r:id="rId1"/>
    <sheet name="SearchForAlternative" sheetId="2" r:id="rId2"/>
    <sheet name="Model" sheetId="1" r:id="rId3"/>
  </sheets>
  <definedNames>
    <definedName name="coin_cuttype" localSheetId="2" hidden="1">1</definedName>
    <definedName name="coin_cuttype" localSheetId="0" hidden="1">1</definedName>
    <definedName name="coin_cuttype" localSheetId="1" hidden="1">1</definedName>
    <definedName name="coin_dualtol" localSheetId="2" hidden="1">0.0000001</definedName>
    <definedName name="coin_dualtol" localSheetId="0" hidden="1">0.0000001</definedName>
    <definedName name="coin_dualtol" localSheetId="1" hidden="1">0.0000001</definedName>
    <definedName name="coin_heurs" localSheetId="2" hidden="1">1</definedName>
    <definedName name="coin_heurs" localSheetId="0" hidden="1">1</definedName>
    <definedName name="coin_heurs" localSheetId="1" hidden="1">1</definedName>
    <definedName name="coin_integerpresolve" localSheetId="2" hidden="1">1</definedName>
    <definedName name="coin_integerpresolve" localSheetId="0" hidden="1">1</definedName>
    <definedName name="coin_integerpresolve" localSheetId="1" hidden="1">1</definedName>
    <definedName name="coin_presolve1" localSheetId="2" hidden="1">1</definedName>
    <definedName name="coin_presolve1" localSheetId="0" hidden="1">1</definedName>
    <definedName name="coin_presolve1" localSheetId="1" hidden="1">1</definedName>
    <definedName name="coin_primaltol" localSheetId="2" hidden="1">0.0000001</definedName>
    <definedName name="coin_primaltol" localSheetId="0" hidden="1">0.0000001</definedName>
    <definedName name="coin_primaltol" localSheetId="1" hidden="1">0.0000001</definedName>
    <definedName name="lssolver_est" localSheetId="2" hidden="1">2</definedName>
    <definedName name="lssolver_est" localSheetId="0" hidden="1">2</definedName>
    <definedName name="lssolver_est" localSheetId="1" hidden="1">2</definedName>
    <definedName name="lssolver_itr" localSheetId="2" hidden="1">0</definedName>
    <definedName name="lssolver_itr" localSheetId="0" hidden="1">0</definedName>
    <definedName name="lssolver_itr" localSheetId="1" hidden="1">0</definedName>
    <definedName name="lssolver_neg" localSheetId="2" hidden="1">0</definedName>
    <definedName name="lssolver_neg" localSheetId="0" hidden="1">0</definedName>
    <definedName name="lssolver_neg" localSheetId="1" hidden="1">0</definedName>
    <definedName name="lssolver_piv" localSheetId="2" hidden="1">0</definedName>
    <definedName name="lssolver_piv" localSheetId="0" hidden="1">0</definedName>
    <definedName name="lssolver_piv" localSheetId="1" hidden="1">0</definedName>
    <definedName name="lssolver_pre" localSheetId="2" hidden="1">0</definedName>
    <definedName name="lssolver_pre" localSheetId="0" hidden="1">0</definedName>
    <definedName name="lssolver_pre" localSheetId="1" hidden="1">0</definedName>
    <definedName name="lssolver_red" localSheetId="2" hidden="1">0</definedName>
    <definedName name="lssolver_red" localSheetId="0" hidden="1">0</definedName>
    <definedName name="lssolver_red" localSheetId="1" hidden="1">0</definedName>
    <definedName name="lssolver_rep" localSheetId="2" hidden="1">2</definedName>
    <definedName name="lssolver_rep" localSheetId="0" hidden="1">2</definedName>
    <definedName name="lssolver_rep" localSheetId="1" hidden="1">2</definedName>
    <definedName name="lssolver_scl" localSheetId="2" hidden="1">0</definedName>
    <definedName name="lssolver_scl" localSheetId="0" hidden="1">0</definedName>
    <definedName name="lssolver_scl" localSheetId="1" hidden="1">0</definedName>
    <definedName name="lssolver_sho" localSheetId="2" hidden="1">2</definedName>
    <definedName name="lssolver_sho" localSheetId="0" hidden="1">2</definedName>
    <definedName name="lssolver_sho" localSheetId="1" hidden="1">2</definedName>
    <definedName name="lssolver_sol" localSheetId="2" hidden="1">0</definedName>
    <definedName name="lssolver_sol" localSheetId="0" hidden="1">0</definedName>
    <definedName name="lssolver_sol" localSheetId="1" hidden="1">0</definedName>
    <definedName name="lssolver_tim" localSheetId="2" hidden="1">0</definedName>
    <definedName name="lssolver_tim" localSheetId="0" hidden="1">0</definedName>
    <definedName name="lssolver_tim" localSheetId="1" hidden="1">0</definedName>
    <definedName name="lssolver_tol" localSheetId="2" hidden="1">0</definedName>
    <definedName name="lssolver_tol" localSheetId="0" hidden="1">0</definedName>
    <definedName name="lssolver_tol" localSheetId="1" hidden="1">0</definedName>
    <definedName name="_xlnm.Print_Area" localSheetId="2">Model!$A$1:$F$16</definedName>
    <definedName name="_xlnm.Print_Area" localSheetId="0">OtherOptimalSolutions!$A$1:$F$16</definedName>
    <definedName name="_xlnm.Print_Area" localSheetId="1">SearchForAlternative!$A$1:$F$16</definedName>
    <definedName name="qpsolver_itr" localSheetId="2" hidden="1">100</definedName>
    <definedName name="qpsolver_itr" localSheetId="0" hidden="1">100</definedName>
    <definedName name="qpsolver_itr" localSheetId="1" hidden="1">100</definedName>
    <definedName name="qpsolver_lin" localSheetId="2" hidden="1">1</definedName>
    <definedName name="qpsolver_lin" localSheetId="0" hidden="1">1</definedName>
    <definedName name="qpsolver_lin" localSheetId="1" hidden="1">1</definedName>
    <definedName name="qpsolver_neg" localSheetId="2" hidden="1">1</definedName>
    <definedName name="qpsolver_neg" localSheetId="0" hidden="1">1</definedName>
    <definedName name="qpsolver_neg" localSheetId="1" hidden="1">1</definedName>
    <definedName name="qpsolver_piv" localSheetId="2" hidden="1">0.000001</definedName>
    <definedName name="qpsolver_piv" localSheetId="0" hidden="1">0.000001</definedName>
    <definedName name="qpsolver_piv" localSheetId="1" hidden="1">0.000001</definedName>
    <definedName name="qpsolver_pre" localSheetId="2" hidden="1">0.00000001</definedName>
    <definedName name="qpsolver_pre" localSheetId="0" hidden="1">0.00000001</definedName>
    <definedName name="qpsolver_pre" localSheetId="1" hidden="1">0.00000001</definedName>
    <definedName name="qpsolver_red" localSheetId="2" hidden="1">0.000001</definedName>
    <definedName name="qpsolver_red" localSheetId="0" hidden="1">0.000001</definedName>
    <definedName name="qpsolver_red" localSheetId="1" hidden="1">0.000001</definedName>
    <definedName name="qpsolver_rep" localSheetId="2" hidden="1">2</definedName>
    <definedName name="qpsolver_rep" localSheetId="0" hidden="1">2</definedName>
    <definedName name="qpsolver_rep" localSheetId="1" hidden="1">2</definedName>
    <definedName name="qpsolver_scl" localSheetId="2" hidden="1">2</definedName>
    <definedName name="qpsolver_scl" localSheetId="0" hidden="1">2</definedName>
    <definedName name="qpsolver_scl" localSheetId="1" hidden="1">2</definedName>
    <definedName name="qpsolver_sho" localSheetId="2" hidden="1">2</definedName>
    <definedName name="qpsolver_sho" localSheetId="0" hidden="1">2</definedName>
    <definedName name="qpsolver_sho" localSheetId="1" hidden="1">2</definedName>
    <definedName name="qpsolver_tim" localSheetId="2" hidden="1">100</definedName>
    <definedName name="qpsolver_tim" localSheetId="0" hidden="1">100</definedName>
    <definedName name="qpsolver_tim" localSheetId="1" hidden="1">100</definedName>
    <definedName name="qpsolver_tol" localSheetId="2" hidden="1">0.05</definedName>
    <definedName name="qpsolver_tol" localSheetId="0" hidden="1">0.05</definedName>
    <definedName name="qpsolver_tol" localSheetId="1" hidden="1">0.05</definedName>
    <definedName name="solver_adj" localSheetId="2" hidden="1">Model!$B$11:$E$13</definedName>
    <definedName name="solver_adj" localSheetId="0" hidden="1">OtherOptimalSolutions!$B$11:$E$13</definedName>
    <definedName name="solver_adj" localSheetId="1" hidden="1">SearchForAlternative!$B$11:$E$13</definedName>
    <definedName name="solver_adj_ob" localSheetId="2" hidden="1">1</definedName>
    <definedName name="solver_adj_ob" localSheetId="0" hidden="1">1</definedName>
    <definedName name="solver_adj_ob" localSheetId="1" hidden="1">1</definedName>
    <definedName name="solver_cha" localSheetId="2" hidden="1">0</definedName>
    <definedName name="solver_cha" localSheetId="0" hidden="1">0</definedName>
    <definedName name="solver_cha" localSheetId="1" hidden="1">0</definedName>
    <definedName name="solver_chc1" localSheetId="2" hidden="1">0</definedName>
    <definedName name="solver_chc1" localSheetId="0" hidden="1">0</definedName>
    <definedName name="solver_chc1" localSheetId="1" hidden="1">0</definedName>
    <definedName name="solver_chc2" localSheetId="2" hidden="1">0</definedName>
    <definedName name="solver_chc2" localSheetId="0" hidden="1">0</definedName>
    <definedName name="solver_chc2" localSheetId="1" hidden="1">0</definedName>
    <definedName name="solver_chc3" localSheetId="2" hidden="1">0</definedName>
    <definedName name="solver_chc3" localSheetId="0" hidden="1">0</definedName>
    <definedName name="solver_chc3" localSheetId="1" hidden="1">0</definedName>
    <definedName name="solver_chn" localSheetId="2" hidden="1">4</definedName>
    <definedName name="solver_chn" localSheetId="0" hidden="1">4</definedName>
    <definedName name="solver_chn" localSheetId="1" hidden="1">4</definedName>
    <definedName name="solver_chp1" localSheetId="2" hidden="1">0</definedName>
    <definedName name="solver_chp1" localSheetId="0" hidden="1">0</definedName>
    <definedName name="solver_chp1" localSheetId="1" hidden="1">0</definedName>
    <definedName name="solver_chp2" localSheetId="2" hidden="1">0</definedName>
    <definedName name="solver_chp2" localSheetId="0" hidden="1">0</definedName>
    <definedName name="solver_chp2" localSheetId="1" hidden="1">0</definedName>
    <definedName name="solver_chp3" localSheetId="2" hidden="1">0</definedName>
    <definedName name="solver_chp3" localSheetId="0" hidden="1">0</definedName>
    <definedName name="solver_chp3" localSheetId="1" hidden="1">0</definedName>
    <definedName name="solver_cht" localSheetId="2" hidden="1">0</definedName>
    <definedName name="solver_cht" localSheetId="0" hidden="1">0</definedName>
    <definedName name="solver_cht" localSheetId="1" hidden="1">0</definedName>
    <definedName name="solver_cir1" localSheetId="2" hidden="1">1</definedName>
    <definedName name="solver_cir1" localSheetId="0" hidden="1">1</definedName>
    <definedName name="solver_cir1" localSheetId="1" hidden="1">1</definedName>
    <definedName name="solver_cir2" localSheetId="2" hidden="1">1</definedName>
    <definedName name="solver_cir2" localSheetId="0" hidden="1">1</definedName>
    <definedName name="solver_cir2" localSheetId="1" hidden="1">1</definedName>
    <definedName name="solver_cir3" localSheetId="2" hidden="1">1</definedName>
    <definedName name="solver_cir3" localSheetId="0" hidden="1">1</definedName>
    <definedName name="solver_cir3" localSheetId="1" hidden="1">1</definedName>
    <definedName name="solver_con" localSheetId="2" hidden="1">" "</definedName>
    <definedName name="solver_con" localSheetId="0" hidden="1">" "</definedName>
    <definedName name="solver_con" localSheetId="1" hidden="1">" "</definedName>
    <definedName name="solver_con1" localSheetId="2" hidden="1">" "</definedName>
    <definedName name="solver_con1" localSheetId="0" hidden="1">" "</definedName>
    <definedName name="solver_con1" localSheetId="1" hidden="1">" "</definedName>
    <definedName name="solver_con2" localSheetId="2" hidden="1">" "</definedName>
    <definedName name="solver_con2" localSheetId="0" hidden="1">" "</definedName>
    <definedName name="solver_con2" localSheetId="1" hidden="1">" "</definedName>
    <definedName name="solver_con3" localSheetId="2" hidden="1">" "</definedName>
    <definedName name="solver_con3" localSheetId="0" hidden="1">" "</definedName>
    <definedName name="solver_con3" localSheetId="1" hidden="1">" "</definedName>
    <definedName name="solver_cvg" localSheetId="2" hidden="1">0.001</definedName>
    <definedName name="solver_cvg" localSheetId="0" hidden="1">0.001</definedName>
    <definedName name="solver_cvg" localSheetId="1" hidden="1">0.001</definedName>
    <definedName name="solver_dia" localSheetId="2" hidden="1">5</definedName>
    <definedName name="solver_dia" localSheetId="0" hidden="1">5</definedName>
    <definedName name="solver_dia" localSheetId="1" hidden="1">5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eng" localSheetId="2" hidden="1">2</definedName>
    <definedName name="solver_eng" localSheetId="0" hidden="1">2</definedName>
    <definedName name="solver_eng" localSheetId="1" hidden="1">2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iao" localSheetId="2" hidden="1">0</definedName>
    <definedName name="solver_iao" localSheetId="0" hidden="1">0</definedName>
    <definedName name="solver_iao" localSheetId="1" hidden="1">0</definedName>
    <definedName name="solver_ibd" localSheetId="2" hidden="1">2</definedName>
    <definedName name="solver_ibd" localSheetId="0" hidden="1">2</definedName>
    <definedName name="solver_ibd" localSheetId="1" hidden="1">2</definedName>
    <definedName name="solver_int" localSheetId="2" hidden="1">0</definedName>
    <definedName name="solver_int" localSheetId="0" hidden="1">0</definedName>
    <definedName name="solver_int" localSheetId="1" hidden="1">0</definedName>
    <definedName name="solver_irs" localSheetId="2" hidden="1">0</definedName>
    <definedName name="solver_irs" localSheetId="0" hidden="1">0</definedName>
    <definedName name="solver_irs" localSheetId="1" hidden="1">0</definedName>
    <definedName name="solver_ism" localSheetId="2" hidden="1">0</definedName>
    <definedName name="solver_ism" localSheetId="0" hidden="1">0</definedName>
    <definedName name="solver_ism" localSheetId="1" hidden="1">0</definedName>
    <definedName name="solver_itr" localSheetId="2" hidden="1">100</definedName>
    <definedName name="solver_itr" localSheetId="0" hidden="1">100</definedName>
    <definedName name="solver_itr" localSheetId="1" hidden="1">100</definedName>
    <definedName name="solver_kiv" localSheetId="2" hidden="1">2E+30</definedName>
    <definedName name="solver_kiv" localSheetId="0" hidden="1">2E+30</definedName>
    <definedName name="solver_kiv" localSheetId="1" hidden="1">2E+30</definedName>
    <definedName name="solver_lhs_ob1" localSheetId="2" hidden="1">0</definedName>
    <definedName name="solver_lhs_ob1" localSheetId="0" hidden="1">0</definedName>
    <definedName name="solver_lhs_ob1" localSheetId="1" hidden="1">0</definedName>
    <definedName name="solver_lhs_ob2" localSheetId="2" hidden="1">0</definedName>
    <definedName name="solver_lhs_ob2" localSheetId="0" hidden="1">0</definedName>
    <definedName name="solver_lhs_ob2" localSheetId="1" hidden="1">0</definedName>
    <definedName name="solver_lhs_ob3" localSheetId="2" hidden="1">0</definedName>
    <definedName name="solver_lhs_ob3" localSheetId="0" hidden="1">0</definedName>
    <definedName name="solver_lhs_ob3" localSheetId="1" hidden="1">0</definedName>
    <definedName name="solver_lhs0" localSheetId="2" hidden="1">Model!#REF!</definedName>
    <definedName name="solver_lhs0" localSheetId="0" hidden="1">OtherOptimalSolutions!#REF!</definedName>
    <definedName name="solver_lhs0" localSheetId="1" hidden="1">SearchForAlternative!#REF!</definedName>
    <definedName name="solver_lhs1" localSheetId="2" hidden="1">Model!$B$14:$E$14</definedName>
    <definedName name="solver_lhs1" localSheetId="0" hidden="1">OtherOptimalSolutions!$B$14:$E$14</definedName>
    <definedName name="solver_lhs1" localSheetId="1" hidden="1">SearchForAlternative!$B$14:$E$14</definedName>
    <definedName name="solver_lhs2" localSheetId="2" hidden="1">Model!$F$11:$F$13</definedName>
    <definedName name="solver_lhs2" localSheetId="0" hidden="1">OtherOptimalSolutions!$B$16</definedName>
    <definedName name="solver_lhs2" localSheetId="1" hidden="1">SearchForAlternative!$B$16</definedName>
    <definedName name="solver_lhs3" localSheetId="2" hidden="1">Model!#REF!</definedName>
    <definedName name="solver_lhs3" localSheetId="0" hidden="1">OtherOptimalSolutions!$F$11:$F$13</definedName>
    <definedName name="solver_lhs3" localSheetId="1" hidden="1">SearchForAlternative!$F$11:$F$13</definedName>
    <definedName name="solver_lin" localSheetId="2" hidden="1">1</definedName>
    <definedName name="solver_lin" localSheetId="0" hidden="1">1</definedName>
    <definedName name="solver_lin" localSheetId="1" hidden="1">1</definedName>
    <definedName name="solver_lva" localSheetId="2" hidden="1">2</definedName>
    <definedName name="solver_lva" localSheetId="0" hidden="1">2</definedName>
    <definedName name="solver_lva" localSheetId="1" hidden="1">2</definedName>
    <definedName name="solver_mda" localSheetId="2" hidden="1">4</definedName>
    <definedName name="solver_mda" localSheetId="0" hidden="1">4</definedName>
    <definedName name="solver_mda" localSheetId="1" hidden="1">4</definedName>
    <definedName name="solver_mip" localSheetId="2" hidden="1">5000</definedName>
    <definedName name="solver_mip" localSheetId="0" hidden="1">5000</definedName>
    <definedName name="solver_mip" localSheetId="1" hidden="1">5000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od" localSheetId="2" hidden="1">3</definedName>
    <definedName name="solver_mod" localSheetId="0" hidden="1">3</definedName>
    <definedName name="solver_mod" localSheetId="1" hidden="1">3</definedName>
    <definedName name="solver_mrt" localSheetId="2" hidden="1">0.075</definedName>
    <definedName name="solver_mrt" localSheetId="0" hidden="1">0.075</definedName>
    <definedName name="solver_mrt" localSheetId="1" hidden="1">0.075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neg" localSheetId="2" hidden="1">1</definedName>
    <definedName name="solver_neg" localSheetId="0" hidden="1">1</definedName>
    <definedName name="solver_neg" localSheetId="1" hidden="1">1</definedName>
    <definedName name="solver_nod" localSheetId="2" hidden="1">5000</definedName>
    <definedName name="solver_nod" localSheetId="0" hidden="1">5000</definedName>
    <definedName name="solver_nod" localSheetId="1" hidden="1">5000</definedName>
    <definedName name="solver_ntr" localSheetId="2" hidden="1">0</definedName>
    <definedName name="solver_ntr" localSheetId="0" hidden="1">0</definedName>
    <definedName name="solver_ntr" localSheetId="1" hidden="1">0</definedName>
    <definedName name="solver_ntri" hidden="1">1000</definedName>
    <definedName name="solver_num" localSheetId="2" hidden="1">2</definedName>
    <definedName name="solver_num" localSheetId="0" hidden="1">3</definedName>
    <definedName name="solver_num" localSheetId="1" hidden="1">3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obc" localSheetId="2" hidden="1">0</definedName>
    <definedName name="solver_obc" localSheetId="0" hidden="1">0</definedName>
    <definedName name="solver_obc" localSheetId="1" hidden="1">0</definedName>
    <definedName name="solver_obp" localSheetId="2" hidden="1">0</definedName>
    <definedName name="solver_obp" localSheetId="0" hidden="1">0</definedName>
    <definedName name="solver_obp" localSheetId="1" hidden="1">0</definedName>
    <definedName name="solver_ofx" localSheetId="2" hidden="1">2</definedName>
    <definedName name="solver_ofx" localSheetId="0" hidden="1">2</definedName>
    <definedName name="solver_ofx" localSheetId="1" hidden="1">2</definedName>
    <definedName name="solver_opt" localSheetId="2" hidden="1">Model!$B$16</definedName>
    <definedName name="solver_opt" localSheetId="0" hidden="1">OtherOptimalSolutions!$B$18</definedName>
    <definedName name="solver_opt" localSheetId="1" hidden="1">SearchForAlternative!$B$18</definedName>
    <definedName name="solver_opt_ob" localSheetId="2" hidden="1">1</definedName>
    <definedName name="solver_opt_ob" localSheetId="0" hidden="1">1</definedName>
    <definedName name="solver_opt_ob" localSheetId="1" hidden="1">1</definedName>
    <definedName name="solver_piv" localSheetId="2" hidden="1">0.000001</definedName>
    <definedName name="solver_piv" localSheetId="0" hidden="1">0.000001</definedName>
    <definedName name="solver_piv" localSheetId="1" hidden="1">0.000001</definedName>
    <definedName name="solver_pre" localSheetId="2" hidden="1">0.000001</definedName>
    <definedName name="solver_pre" localSheetId="0" hidden="1">0.000001</definedName>
    <definedName name="solver_pre" localSheetId="1" hidden="1">0.000001</definedName>
    <definedName name="solver_pro" localSheetId="2" hidden="1">2</definedName>
    <definedName name="solver_pro" localSheetId="0" hidden="1">2</definedName>
    <definedName name="solver_pro" localSheetId="1" hidden="1">2</definedName>
    <definedName name="solver_psi" localSheetId="2" hidden="1">0</definedName>
    <definedName name="solver_psi" localSheetId="0" hidden="1">0</definedName>
    <definedName name="solver_psi" localSheetId="1" hidden="1">0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dp" localSheetId="2" hidden="1">0</definedName>
    <definedName name="solver_rdp" localSheetId="0" hidden="1">0</definedName>
    <definedName name="solver_rdp" localSheetId="1" hidden="1">0</definedName>
    <definedName name="solver_reco1" localSheetId="2" hidden="1">0</definedName>
    <definedName name="solver_reco1" localSheetId="0" hidden="1">0</definedName>
    <definedName name="solver_reco1" localSheetId="1" hidden="1">0</definedName>
    <definedName name="solver_reco2" localSheetId="2" hidden="1">0</definedName>
    <definedName name="solver_reco2" localSheetId="0" hidden="1">0</definedName>
    <definedName name="solver_reco2" localSheetId="1" hidden="1">0</definedName>
    <definedName name="solver_reco3" localSheetId="2" hidden="1">0</definedName>
    <definedName name="solver_reco3" localSheetId="0" hidden="1">0</definedName>
    <definedName name="solver_reco3" localSheetId="1" hidden="1">0</definedName>
    <definedName name="solver_red" localSheetId="2" hidden="1">0.000001</definedName>
    <definedName name="solver_red" localSheetId="0" hidden="1">0.000001</definedName>
    <definedName name="solver_red" localSheetId="1" hidden="1">0.000001</definedName>
    <definedName name="solver_rel0" localSheetId="2" hidden="1">2</definedName>
    <definedName name="solver_rel0" localSheetId="0" hidden="1">2</definedName>
    <definedName name="solver_rel0" localSheetId="1" hidden="1">2</definedName>
    <definedName name="solver_rel1" localSheetId="2" hidden="1">2</definedName>
    <definedName name="solver_rel1" localSheetId="0" hidden="1">2</definedName>
    <definedName name="solver_rel1" localSheetId="1" hidden="1">2</definedName>
    <definedName name="solver_rel2" localSheetId="2" hidden="1">1</definedName>
    <definedName name="solver_rel2" localSheetId="0" hidden="1">2</definedName>
    <definedName name="solver_rel2" localSheetId="1" hidden="1">2</definedName>
    <definedName name="solver_rel3" localSheetId="2" hidden="1">1</definedName>
    <definedName name="solver_rel3" localSheetId="0" hidden="1">1</definedName>
    <definedName name="solver_rel3" localSheetId="1" hidden="1">1</definedName>
    <definedName name="solver_reo" localSheetId="2" hidden="1">2</definedName>
    <definedName name="solver_reo" localSheetId="0" hidden="1">2</definedName>
    <definedName name="solver_reo" localSheetId="1" hidden="1">2</definedName>
    <definedName name="solver_rep" localSheetId="2" hidden="1">2</definedName>
    <definedName name="solver_rep" localSheetId="0" hidden="1">2</definedName>
    <definedName name="solver_rep" localSheetId="1" hidden="1">2</definedName>
    <definedName name="solver_rhs0" localSheetId="2" hidden="1">Model!H45:K45</definedName>
    <definedName name="solver_rhs0" localSheetId="0" hidden="1">OtherOptimalSolutions!H45:K45</definedName>
    <definedName name="solver_rhs0" localSheetId="1" hidden="1">SearchForAlternative!H45:K45</definedName>
    <definedName name="solver_rhs1" localSheetId="2" hidden="1">Model!$B$6:$E$6</definedName>
    <definedName name="solver_rhs1" localSheetId="0" hidden="1">OtherOptimalSolutions!$B$6:$E$6</definedName>
    <definedName name="solver_rhs1" localSheetId="1" hidden="1">SearchForAlternative!$B$6:$E$6</definedName>
    <definedName name="solver_rhs2" localSheetId="2" hidden="1">Model!$F$3:$F$5</definedName>
    <definedName name="solver_rhs2" localSheetId="0" hidden="1">OtherOptimalSolutions!$B$17</definedName>
    <definedName name="solver_rhs2" localSheetId="1" hidden="1">SearchForAlternative!$B$17</definedName>
    <definedName name="solver_rhs3" localSheetId="2" hidden="1">Model!$F$3:$F$5</definedName>
    <definedName name="solver_rhs3" localSheetId="0" hidden="1">OtherOptimalSolutions!$F$3:$F$5</definedName>
    <definedName name="solver_rhs3" localSheetId="1" hidden="1">SearchForAlternative!$F$3:$F$5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rsmp" hidden="1">2</definedName>
    <definedName name="solver_rtr" localSheetId="2" hidden="1">0</definedName>
    <definedName name="solver_rtr" localSheetId="0" hidden="1">0</definedName>
    <definedName name="solver_rtr" localSheetId="1" hidden="1">0</definedName>
    <definedName name="solver_rxc1" localSheetId="2" hidden="1">1</definedName>
    <definedName name="solver_rxc1" localSheetId="0" hidden="1">1</definedName>
    <definedName name="solver_rxc1" localSheetId="1" hidden="1">1</definedName>
    <definedName name="solver_rxc2" localSheetId="2" hidden="1">1</definedName>
    <definedName name="solver_rxc2" localSheetId="0" hidden="1">1</definedName>
    <definedName name="solver_rxc2" localSheetId="1" hidden="1">1</definedName>
    <definedName name="solver_rxc3" localSheetId="2" hidden="1">1</definedName>
    <definedName name="solver_rxc3" localSheetId="0" hidden="1">1</definedName>
    <definedName name="solver_rxc3" localSheetId="1" hidden="1">1</definedName>
    <definedName name="solver_rxv" localSheetId="2" hidden="1">1</definedName>
    <definedName name="solver_rxv" localSheetId="0" hidden="1">1</definedName>
    <definedName name="solver_rxv" localSheetId="1" hidden="1">1</definedName>
    <definedName name="solver_scl" localSheetId="2" hidden="1">2</definedName>
    <definedName name="solver_scl" localSheetId="0" hidden="1">2</definedName>
    <definedName name="solver_scl" localSheetId="1" hidden="1">2</definedName>
    <definedName name="solver_seed" hidden="1">0</definedName>
    <definedName name="solver_sel" localSheetId="2" hidden="1">1</definedName>
    <definedName name="solver_sel" localSheetId="0" hidden="1">1</definedName>
    <definedName name="solver_sel" localSheetId="1" hidden="1">1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lv" localSheetId="2" hidden="1">0</definedName>
    <definedName name="solver_slv" localSheetId="0" hidden="1">0</definedName>
    <definedName name="solver_slv" localSheetId="1" hidden="1">0</definedName>
    <definedName name="solver_slvu" localSheetId="2" hidden="1">0</definedName>
    <definedName name="solver_slvu" localSheetId="0" hidden="1">0</definedName>
    <definedName name="solver_slvu" localSheetId="1" hidden="1">0</definedName>
    <definedName name="solver_spid" localSheetId="2" hidden="1">" "</definedName>
    <definedName name="solver_spid" localSheetId="0" hidden="1">" "</definedName>
    <definedName name="solver_spid" localSheetId="1" hidden="1">" "</definedName>
    <definedName name="solver_srvr" localSheetId="2" hidden="1">" "</definedName>
    <definedName name="solver_srvr" localSheetId="0" hidden="1">" "</definedName>
    <definedName name="solver_srvr" localSheetId="1" hidden="1">" "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std" localSheetId="2" hidden="1">0</definedName>
    <definedName name="solver_std" localSheetId="0" hidden="1">0</definedName>
    <definedName name="solver_std" localSheetId="1" hidden="1">0</definedName>
    <definedName name="solver_tim" localSheetId="2" hidden="1">100</definedName>
    <definedName name="solver_tim" localSheetId="0" hidden="1">100</definedName>
    <definedName name="solver_tim" localSheetId="1" hidden="1">100</definedName>
    <definedName name="solver_tol" localSheetId="2" hidden="1">0.05</definedName>
    <definedName name="solver_tol" localSheetId="0" hidden="1">0.05</definedName>
    <definedName name="solver_tol" localSheetId="1" hidden="1">0.05</definedName>
    <definedName name="solver_typ" localSheetId="2" hidden="1">2</definedName>
    <definedName name="solver_typ" localSheetId="0" hidden="1">1</definedName>
    <definedName name="solver_typ" localSheetId="1" hidden="1">1</definedName>
    <definedName name="solver_umod" localSheetId="2" hidden="1">1</definedName>
    <definedName name="solver_umod" localSheetId="0" hidden="1">1</definedName>
    <definedName name="solver_umod" localSheetId="1" hidden="1">1</definedName>
    <definedName name="solver_urs" localSheetId="2" hidden="1">0</definedName>
    <definedName name="solver_urs" localSheetId="0" hidden="1">0</definedName>
    <definedName name="solver_urs" localSheetId="1" hidden="1">0</definedName>
    <definedName name="solver_userid" localSheetId="2" hidden="1">1733</definedName>
    <definedName name="solver_userid" localSheetId="0" hidden="1">1733</definedName>
    <definedName name="solver_userid" localSheetId="1" hidden="1">1733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r" localSheetId="2" hidden="1">" "</definedName>
    <definedName name="solver_var" localSheetId="0" hidden="1">" "</definedName>
    <definedName name="solver_var" localSheetId="1" hidden="1">" "</definedName>
    <definedName name="solver_ver" localSheetId="2" hidden="1">3</definedName>
    <definedName name="solver_ver" localSheetId="0" hidden="1">3</definedName>
    <definedName name="solver_ver" localSheetId="1" hidden="1">3</definedName>
    <definedName name="solver_vir" localSheetId="2" hidden="1">1</definedName>
    <definedName name="solver_vir" localSheetId="0" hidden="1">1</definedName>
    <definedName name="solver_vir" localSheetId="1" hidden="1">1</definedName>
    <definedName name="solver_vol" localSheetId="2" hidden="1">0</definedName>
    <definedName name="solver_vol" localSheetId="0" hidden="1">0</definedName>
    <definedName name="solver_vol" localSheetId="1" hidden="1">0</definedName>
    <definedName name="solver_vst" localSheetId="2" hidden="1">0</definedName>
    <definedName name="solver_vst" localSheetId="0" hidden="1">0</definedName>
    <definedName name="solver_vst" localSheetId="1" hidden="1">0</definedName>
    <definedName name="sssolver_drv" localSheetId="2" hidden="1">1</definedName>
    <definedName name="sssolver_drv" localSheetId="0" hidden="1">1</definedName>
    <definedName name="sssolver_drv" localSheetId="1" hidden="1">1</definedName>
    <definedName name="sssolver_est" localSheetId="2" hidden="1">1</definedName>
    <definedName name="sssolver_est" localSheetId="0" hidden="1">1</definedName>
    <definedName name="sssolver_est" localSheetId="1" hidden="1">1</definedName>
    <definedName name="sssolver_itr" localSheetId="2" hidden="1">100</definedName>
    <definedName name="sssolver_itr" localSheetId="0" hidden="1">100</definedName>
    <definedName name="sssolver_itr" localSheetId="1" hidden="1">100</definedName>
    <definedName name="sssolver_lin" localSheetId="2" hidden="1">2</definedName>
    <definedName name="sssolver_lin" localSheetId="0" hidden="1">2</definedName>
    <definedName name="sssolver_lin" localSheetId="1" hidden="1">2</definedName>
    <definedName name="sssolver_neg" localSheetId="2" hidden="1">0</definedName>
    <definedName name="sssolver_neg" localSheetId="0" hidden="1">0</definedName>
    <definedName name="sssolver_neg" localSheetId="1" hidden="1">0</definedName>
    <definedName name="sssolver_nwt" localSheetId="2" hidden="1">1</definedName>
    <definedName name="sssolver_nwt" localSheetId="0" hidden="1">1</definedName>
    <definedName name="sssolver_nwt" localSheetId="1" hidden="1">1</definedName>
    <definedName name="sssolver_pre" localSheetId="2" hidden="1">0.00000001</definedName>
    <definedName name="sssolver_pre" localSheetId="0" hidden="1">0.00000001</definedName>
    <definedName name="sssolver_pre" localSheetId="1" hidden="1">0.00000001</definedName>
    <definedName name="sssolver_rep" localSheetId="2" hidden="1">2</definedName>
    <definedName name="sssolver_rep" localSheetId="0" hidden="1">2</definedName>
    <definedName name="sssolver_rep" localSheetId="1" hidden="1">2</definedName>
    <definedName name="sssolver_scl" localSheetId="2" hidden="1">2</definedName>
    <definedName name="sssolver_scl" localSheetId="0" hidden="1">2</definedName>
    <definedName name="sssolver_scl" localSheetId="1" hidden="1">2</definedName>
    <definedName name="sssolver_sho" localSheetId="2" hidden="1">2</definedName>
    <definedName name="sssolver_sho" localSheetId="0" hidden="1">2</definedName>
    <definedName name="sssolver_sho" localSheetId="1" hidden="1">2</definedName>
    <definedName name="sssolver_tim" localSheetId="2" hidden="1">100</definedName>
    <definedName name="sssolver_tim" localSheetId="0" hidden="1">100</definedName>
    <definedName name="sssolver_tim" localSheetId="1" hidden="1">100</definedName>
    <definedName name="sssolver_tol" localSheetId="2" hidden="1">0.05</definedName>
    <definedName name="sssolver_tol" localSheetId="0" hidden="1">0.05</definedName>
    <definedName name="sssolver_tol" localSheetId="1" hidden="1">0.05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6" i="3" l="1"/>
  <c r="B18" i="3"/>
  <c r="E14" i="3"/>
  <c r="D14" i="3"/>
  <c r="C14" i="3"/>
  <c r="B14" i="3"/>
  <c r="F13" i="3"/>
  <c r="F12" i="3"/>
  <c r="F11" i="3"/>
  <c r="B18" i="2"/>
  <c r="B16" i="2"/>
  <c r="E14" i="2"/>
  <c r="D14" i="2"/>
  <c r="C14" i="2"/>
  <c r="B14" i="2"/>
  <c r="F13" i="2"/>
  <c r="F12" i="2"/>
  <c r="F11" i="2"/>
  <c r="F11" i="1"/>
  <c r="F12" i="1"/>
  <c r="F13" i="1"/>
  <c r="B14" i="1"/>
  <c r="B16" i="1"/>
  <c r="C14" i="1"/>
  <c r="D14" i="1"/>
  <c r="E14" i="1"/>
</calcChain>
</file>

<file path=xl/sharedStrings.xml><?xml version="1.0" encoding="utf-8"?>
<sst xmlns="http://schemas.openxmlformats.org/spreadsheetml/2006/main" count="109" uniqueCount="35">
  <si>
    <t>Destination</t>
  </si>
  <si>
    <t>Origin</t>
  </si>
  <si>
    <t>Supply</t>
  </si>
  <si>
    <t>Demand</t>
  </si>
  <si>
    <t>Cleveland</t>
  </si>
  <si>
    <t>Bedford</t>
  </si>
  <si>
    <t>York</t>
  </si>
  <si>
    <t>Boston</t>
  </si>
  <si>
    <t>St. Louis</t>
  </si>
  <si>
    <t>Lexington</t>
  </si>
  <si>
    <t>Shipping Cost/Unit</t>
  </si>
  <si>
    <t>Total Cost</t>
  </si>
  <si>
    <t>Chicago</t>
  </si>
  <si>
    <t>Shipping Quantities</t>
  </si>
  <si>
    <t>Quantity Shipped To</t>
  </si>
  <si>
    <t>Total amount shipped &lt;= Total amount available</t>
  </si>
  <si>
    <t>York: 6000 &lt;= 2500</t>
  </si>
  <si>
    <t>^ york to boston + york to chicago + york to STL + york to Lexington &lt;= 2500</t>
  </si>
  <si>
    <t>Total Ship-From</t>
  </si>
  <si>
    <t>Goal: modify the formulation (model) to see if there is another solution</t>
  </si>
  <si>
    <t>What needs to be true for a solution to be an alternative optimal solution?</t>
  </si>
  <si>
    <t>has to have same cost (if there was a lower cost, it would have been found already)</t>
  </si>
  <si>
    <t>2. To be an alternative, at least one of the decisions must be different.</t>
  </si>
  <si>
    <t>1. The objective value must stay the same. In this case, the cost must be $39,500. And all orginial contraints still apply.</t>
  </si>
  <si>
    <t>Add a constraint:</t>
  </si>
  <si>
    <t>Cost Calculation</t>
  </si>
  <si>
    <t>Optimal Cost</t>
  </si>
  <si>
    <t>And then tell Solver to Maximize that sum</t>
  </si>
  <si>
    <t>In a cell, compute the sum the variables that are currently zero value</t>
  </si>
  <si>
    <t>Sum of Zero Variables</t>
  </si>
  <si>
    <t>if this value is now larger than zero, we have an alternative optimal solution</t>
  </si>
  <si>
    <t>this is another a shipping plan that has the same cost</t>
  </si>
  <si>
    <t>if this value stays zero, then there is no other alternative optimal solutions</t>
  </si>
  <si>
    <t>Weight on First Optimal Solution</t>
  </si>
  <si>
    <t>Weight on Second Optimal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</si>
</sst>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1" fillId="0" borderId="1" xfId="0" applyNumberFormat="1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0" xfId="0" applyNumberFormat="1" applyFont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0" fontId="2" fillId="0" borderId="0" xfId="0" applyFont="1" applyAlignment="1">
      <alignment horizontal="right"/>
    </xf>
    <xf numFmtId="165" fontId="1" fillId="3" borderId="0" xfId="0" applyNumberFormat="1" applyFont="1" applyFill="1"/>
    <xf numFmtId="1" fontId="1" fillId="4" borderId="0" xfId="0" applyNumberFormat="1" applyFont="1" applyFill="1"/>
    <xf numFmtId="1" fontId="1" fillId="2" borderId="0" xfId="0" applyNumberFormat="1" applyFont="1" applyFill="1"/>
    <xf numFmtId="0" fontId="2" fillId="0" borderId="9" xfId="0" applyFont="1" applyBorder="1" applyAlignment="1">
      <alignment horizont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5170-43F7-44FE-8E77-08D27EDEA097}">
  <sheetPr>
    <pageSetUpPr fitToPage="1"/>
  </sheetPr>
  <dimension ref="A1:L36"/>
  <sheetViews>
    <sheetView tabSelected="1" topLeftCell="A7" zoomScale="110" zoomScaleNormal="110" workbookViewId="0">
      <selection activeCell="E18" sqref="E18"/>
    </sheetView>
  </sheetViews>
  <sheetFormatPr defaultColWidth="9.1796875" defaultRowHeight="15.5" x14ac:dyDescent="0.35"/>
  <cols>
    <col min="1" max="1" width="33.7265625" style="1" customWidth="1"/>
    <col min="2" max="2" width="11" style="1" bestFit="1" customWidth="1"/>
    <col min="3" max="3" width="8.26953125" style="1" customWidth="1"/>
    <col min="4" max="4" width="8.7265625" style="1" bestFit="1" customWidth="1"/>
    <col min="5" max="5" width="9.54296875" style="1" bestFit="1" customWidth="1"/>
    <col min="6" max="6" width="9.6328125" style="1" customWidth="1"/>
    <col min="7" max="7" width="9.1796875" style="1" customWidth="1"/>
    <col min="8" max="8" width="10.26953125" style="1" customWidth="1"/>
    <col min="9" max="16384" width="9.1796875" style="1"/>
  </cols>
  <sheetData>
    <row r="1" spans="1:9" x14ac:dyDescent="0.35">
      <c r="A1" s="1" t="s">
        <v>10</v>
      </c>
      <c r="B1" s="17" t="s">
        <v>0</v>
      </c>
      <c r="C1" s="17"/>
      <c r="D1" s="17"/>
      <c r="E1" s="17"/>
    </row>
    <row r="2" spans="1:9" ht="16" thickBot="1" x14ac:dyDescent="0.4">
      <c r="A2" s="2" t="s">
        <v>1</v>
      </c>
      <c r="B2" s="3" t="s">
        <v>7</v>
      </c>
      <c r="C2" s="3" t="s">
        <v>12</v>
      </c>
      <c r="D2" s="3" t="s">
        <v>8</v>
      </c>
      <c r="E2" s="3" t="s">
        <v>9</v>
      </c>
      <c r="F2" s="13" t="s">
        <v>2</v>
      </c>
    </row>
    <row r="3" spans="1:9" x14ac:dyDescent="0.35">
      <c r="A3" s="1" t="s">
        <v>4</v>
      </c>
      <c r="B3" s="4">
        <v>3</v>
      </c>
      <c r="C3" s="5">
        <v>2</v>
      </c>
      <c r="D3" s="5">
        <v>7</v>
      </c>
      <c r="E3" s="6">
        <v>6</v>
      </c>
      <c r="F3" s="1">
        <v>5000</v>
      </c>
    </row>
    <row r="4" spans="1:9" x14ac:dyDescent="0.35">
      <c r="A4" s="1" t="s">
        <v>5</v>
      </c>
      <c r="B4" s="7">
        <v>6</v>
      </c>
      <c r="C4" s="8">
        <v>5</v>
      </c>
      <c r="D4" s="8">
        <v>2</v>
      </c>
      <c r="E4" s="9">
        <v>3</v>
      </c>
      <c r="F4" s="1">
        <v>6000</v>
      </c>
    </row>
    <row r="5" spans="1:9" ht="16" thickBot="1" x14ac:dyDescent="0.4">
      <c r="A5" s="1" t="s">
        <v>6</v>
      </c>
      <c r="B5" s="10">
        <v>2</v>
      </c>
      <c r="C5" s="11">
        <v>5</v>
      </c>
      <c r="D5" s="11">
        <v>4</v>
      </c>
      <c r="E5" s="12">
        <v>5</v>
      </c>
      <c r="F5" s="1">
        <v>2500</v>
      </c>
    </row>
    <row r="6" spans="1:9" x14ac:dyDescent="0.35">
      <c r="A6" s="2" t="s">
        <v>3</v>
      </c>
      <c r="B6" s="1">
        <v>6000</v>
      </c>
      <c r="C6" s="1">
        <v>4000</v>
      </c>
      <c r="D6" s="1">
        <v>2000</v>
      </c>
      <c r="E6" s="1">
        <v>1500</v>
      </c>
    </row>
    <row r="7" spans="1:9" x14ac:dyDescent="0.35">
      <c r="A7" s="2"/>
    </row>
    <row r="9" spans="1:9" x14ac:dyDescent="0.35">
      <c r="A9" s="1" t="s">
        <v>13</v>
      </c>
      <c r="B9" s="17" t="s">
        <v>0</v>
      </c>
      <c r="C9" s="17"/>
      <c r="D9" s="17"/>
      <c r="E9" s="17"/>
    </row>
    <row r="10" spans="1:9" x14ac:dyDescent="0.35">
      <c r="A10" s="2" t="s">
        <v>1</v>
      </c>
      <c r="B10" s="3" t="s">
        <v>7</v>
      </c>
      <c r="C10" s="3" t="s">
        <v>12</v>
      </c>
      <c r="D10" s="3" t="s">
        <v>8</v>
      </c>
      <c r="E10" s="3" t="s">
        <v>9</v>
      </c>
      <c r="F10" s="1" t="s">
        <v>18</v>
      </c>
    </row>
    <row r="11" spans="1:9" x14ac:dyDescent="0.35">
      <c r="A11" s="1" t="s">
        <v>4</v>
      </c>
      <c r="B11" s="15"/>
      <c r="C11" s="15">
        <v>1499.9999999999995</v>
      </c>
      <c r="D11" s="15">
        <v>0</v>
      </c>
      <c r="E11" s="15">
        <v>0</v>
      </c>
      <c r="F11" s="18">
        <f>SUM(B11:E11)</f>
        <v>1499.9999999999995</v>
      </c>
      <c r="I11" s="1" t="s">
        <v>15</v>
      </c>
    </row>
    <row r="12" spans="1:9" x14ac:dyDescent="0.35">
      <c r="A12" s="1" t="s">
        <v>5</v>
      </c>
      <c r="B12" s="15">
        <v>0</v>
      </c>
      <c r="C12" s="15">
        <v>2500.0000000000005</v>
      </c>
      <c r="D12" s="15">
        <v>1999.9999999999995</v>
      </c>
      <c r="E12" s="15">
        <v>1500</v>
      </c>
      <c r="F12" s="18">
        <f>SUM(B12:E12)</f>
        <v>6000</v>
      </c>
      <c r="I12" s="1" t="s">
        <v>16</v>
      </c>
    </row>
    <row r="13" spans="1:9" x14ac:dyDescent="0.35">
      <c r="A13" s="1" t="s">
        <v>6</v>
      </c>
      <c r="B13" s="15">
        <v>2499.9999999999995</v>
      </c>
      <c r="C13" s="15">
        <v>0</v>
      </c>
      <c r="D13" s="15">
        <v>4.5474735088646412E-13</v>
      </c>
      <c r="E13" s="15">
        <v>0</v>
      </c>
      <c r="F13" s="18">
        <f>SUM(B13:E13)</f>
        <v>2500</v>
      </c>
      <c r="I13" s="1" t="s">
        <v>17</v>
      </c>
    </row>
    <row r="14" spans="1:9" x14ac:dyDescent="0.35">
      <c r="A14" s="1" t="s">
        <v>14</v>
      </c>
      <c r="B14" s="16">
        <f>SUM(B11:B13)</f>
        <v>2499.9999999999995</v>
      </c>
      <c r="C14" s="16">
        <f t="shared" ref="C14:E14" si="0">SUM(C11:C13)</f>
        <v>4000</v>
      </c>
      <c r="D14" s="16">
        <f t="shared" si="0"/>
        <v>2000</v>
      </c>
      <c r="E14" s="16">
        <f t="shared" si="0"/>
        <v>1500</v>
      </c>
    </row>
    <row r="16" spans="1:9" x14ac:dyDescent="0.35">
      <c r="A16" s="1" t="s">
        <v>11</v>
      </c>
      <c r="B16" s="14">
        <f>SUMPRODUCT(B3:E5,B11:E13)</f>
        <v>29000</v>
      </c>
    </row>
    <row r="17" spans="1:12" x14ac:dyDescent="0.35">
      <c r="A17" s="1" t="s">
        <v>26</v>
      </c>
      <c r="B17" s="1">
        <v>39500</v>
      </c>
    </row>
    <row r="18" spans="1:12" x14ac:dyDescent="0.35">
      <c r="A18" s="1" t="s">
        <v>29</v>
      </c>
      <c r="B18" s="18">
        <f>SUM(C12,C13,D13,D11,E11,E13)</f>
        <v>2500.0000000000009</v>
      </c>
      <c r="L18" s="1" t="s">
        <v>31</v>
      </c>
    </row>
    <row r="19" spans="1:12" x14ac:dyDescent="0.35">
      <c r="A19" s="1" t="s">
        <v>33</v>
      </c>
      <c r="B19" s="1">
        <v>0.25</v>
      </c>
    </row>
    <row r="20" spans="1:12" x14ac:dyDescent="0.35">
      <c r="A20" s="1" t="s">
        <v>34</v>
      </c>
      <c r="B20" s="1">
        <v>0.75</v>
      </c>
    </row>
    <row r="23" spans="1:12" x14ac:dyDescent="0.35">
      <c r="A23" s="1" t="s">
        <v>23</v>
      </c>
    </row>
    <row r="25" spans="1:12" x14ac:dyDescent="0.35">
      <c r="A25" s="1" t="s">
        <v>24</v>
      </c>
    </row>
    <row r="27" spans="1:12" x14ac:dyDescent="0.35">
      <c r="A27" s="1" t="s">
        <v>25</v>
      </c>
      <c r="B27" s="1">
        <v>39500</v>
      </c>
    </row>
    <row r="33" spans="1:1" x14ac:dyDescent="0.35">
      <c r="A33" s="1" t="s">
        <v>22</v>
      </c>
    </row>
    <row r="35" spans="1:1" x14ac:dyDescent="0.35">
      <c r="A35" s="1" t="s">
        <v>28</v>
      </c>
    </row>
    <row r="36" spans="1:1" x14ac:dyDescent="0.35">
      <c r="A36" s="1" t="s">
        <v>27</v>
      </c>
    </row>
  </sheetData>
  <mergeCells count="2">
    <mergeCell ref="B1:E1"/>
    <mergeCell ref="B9:E9"/>
  </mergeCells>
  <printOptions headings="1" gridLines="1"/>
  <pageMargins left="0.75" right="0.75" top="1" bottom="1" header="0.5" footer="5.14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A9CB-84B5-4D42-B688-8B7166EFCE5A}">
  <sheetPr>
    <pageSetUpPr fitToPage="1"/>
  </sheetPr>
  <dimension ref="A1:L36"/>
  <sheetViews>
    <sheetView topLeftCell="A6" zoomScale="110" zoomScaleNormal="110" workbookViewId="0">
      <selection activeCell="G21" sqref="G21"/>
    </sheetView>
  </sheetViews>
  <sheetFormatPr defaultColWidth="9.1796875" defaultRowHeight="15.5" x14ac:dyDescent="0.35"/>
  <cols>
    <col min="1" max="1" width="19.26953125" style="1" bestFit="1" customWidth="1"/>
    <col min="2" max="2" width="11" style="1" bestFit="1" customWidth="1"/>
    <col min="3" max="3" width="8.26953125" style="1" customWidth="1"/>
    <col min="4" max="4" width="8.7265625" style="1" bestFit="1" customWidth="1"/>
    <col min="5" max="5" width="9.54296875" style="1" bestFit="1" customWidth="1"/>
    <col min="6" max="6" width="9.6328125" style="1" customWidth="1"/>
    <col min="7" max="7" width="9.1796875" style="1" customWidth="1"/>
    <col min="8" max="8" width="10.26953125" style="1" customWidth="1"/>
    <col min="9" max="16384" width="9.1796875" style="1"/>
  </cols>
  <sheetData>
    <row r="1" spans="1:9" x14ac:dyDescent="0.35">
      <c r="A1" s="1" t="s">
        <v>10</v>
      </c>
      <c r="B1" s="17" t="s">
        <v>0</v>
      </c>
      <c r="C1" s="17"/>
      <c r="D1" s="17"/>
      <c r="E1" s="17"/>
    </row>
    <row r="2" spans="1:9" ht="16" thickBot="1" x14ac:dyDescent="0.4">
      <c r="A2" s="2" t="s">
        <v>1</v>
      </c>
      <c r="B2" s="3" t="s">
        <v>7</v>
      </c>
      <c r="C2" s="3" t="s">
        <v>12</v>
      </c>
      <c r="D2" s="3" t="s">
        <v>8</v>
      </c>
      <c r="E2" s="3" t="s">
        <v>9</v>
      </c>
      <c r="F2" s="13" t="s">
        <v>2</v>
      </c>
    </row>
    <row r="3" spans="1:9" x14ac:dyDescent="0.35">
      <c r="A3" s="1" t="s">
        <v>4</v>
      </c>
      <c r="B3" s="4">
        <v>3</v>
      </c>
      <c r="C3" s="5">
        <v>2</v>
      </c>
      <c r="D3" s="5">
        <v>7</v>
      </c>
      <c r="E3" s="6">
        <v>6</v>
      </c>
      <c r="F3" s="1">
        <v>5000</v>
      </c>
    </row>
    <row r="4" spans="1:9" x14ac:dyDescent="0.35">
      <c r="A4" s="1" t="s">
        <v>5</v>
      </c>
      <c r="B4" s="7">
        <v>6</v>
      </c>
      <c r="C4" s="8">
        <v>5</v>
      </c>
      <c r="D4" s="8">
        <v>2</v>
      </c>
      <c r="E4" s="9">
        <v>3</v>
      </c>
      <c r="F4" s="1">
        <v>6000</v>
      </c>
    </row>
    <row r="5" spans="1:9" ht="16" thickBot="1" x14ac:dyDescent="0.4">
      <c r="A5" s="1" t="s">
        <v>6</v>
      </c>
      <c r="B5" s="10">
        <v>2</v>
      </c>
      <c r="C5" s="11">
        <v>5</v>
      </c>
      <c r="D5" s="11">
        <v>4</v>
      </c>
      <c r="E5" s="12">
        <v>5</v>
      </c>
      <c r="F5" s="1">
        <v>2500</v>
      </c>
    </row>
    <row r="6" spans="1:9" x14ac:dyDescent="0.35">
      <c r="A6" s="2" t="s">
        <v>3</v>
      </c>
      <c r="B6" s="1">
        <v>6000</v>
      </c>
      <c r="C6" s="1">
        <v>4000</v>
      </c>
      <c r="D6" s="1">
        <v>2000</v>
      </c>
      <c r="E6" s="1">
        <v>1500</v>
      </c>
    </row>
    <row r="7" spans="1:9" x14ac:dyDescent="0.35">
      <c r="A7" s="2"/>
    </row>
    <row r="9" spans="1:9" x14ac:dyDescent="0.35">
      <c r="A9" s="1" t="s">
        <v>13</v>
      </c>
      <c r="B9" s="17" t="s">
        <v>0</v>
      </c>
      <c r="C9" s="17"/>
      <c r="D9" s="17"/>
      <c r="E9" s="17"/>
    </row>
    <row r="10" spans="1:9" x14ac:dyDescent="0.35">
      <c r="A10" s="2" t="s">
        <v>1</v>
      </c>
      <c r="B10" s="3" t="s">
        <v>7</v>
      </c>
      <c r="C10" s="3" t="s">
        <v>12</v>
      </c>
      <c r="D10" s="3" t="s">
        <v>8</v>
      </c>
      <c r="E10" s="3" t="s">
        <v>9</v>
      </c>
      <c r="F10" s="1" t="s">
        <v>18</v>
      </c>
    </row>
    <row r="11" spans="1:9" x14ac:dyDescent="0.35">
      <c r="A11" s="1" t="s">
        <v>4</v>
      </c>
      <c r="B11" s="15">
        <v>3500.0000000000005</v>
      </c>
      <c r="C11" s="15">
        <v>1499.9999999999995</v>
      </c>
      <c r="D11" s="15">
        <v>0</v>
      </c>
      <c r="E11" s="15">
        <v>0</v>
      </c>
      <c r="F11" s="18">
        <f>SUM(B11:E11)</f>
        <v>5000</v>
      </c>
      <c r="I11" s="1" t="s">
        <v>15</v>
      </c>
    </row>
    <row r="12" spans="1:9" x14ac:dyDescent="0.35">
      <c r="A12" s="1" t="s">
        <v>5</v>
      </c>
      <c r="B12" s="15">
        <v>0</v>
      </c>
      <c r="C12" s="15">
        <v>2500.0000000000005</v>
      </c>
      <c r="D12" s="15">
        <v>1999.9999999999995</v>
      </c>
      <c r="E12" s="15">
        <v>1500</v>
      </c>
      <c r="F12" s="18">
        <f>SUM(B12:E12)</f>
        <v>6000</v>
      </c>
      <c r="I12" s="1" t="s">
        <v>16</v>
      </c>
    </row>
    <row r="13" spans="1:9" x14ac:dyDescent="0.35">
      <c r="A13" s="1" t="s">
        <v>6</v>
      </c>
      <c r="B13" s="15">
        <v>2499.9999999999995</v>
      </c>
      <c r="C13" s="15">
        <v>0</v>
      </c>
      <c r="D13" s="15">
        <v>4.5474735088646412E-13</v>
      </c>
      <c r="E13" s="15">
        <v>0</v>
      </c>
      <c r="F13" s="18">
        <f>SUM(B13:E13)</f>
        <v>2500</v>
      </c>
      <c r="I13" s="1" t="s">
        <v>17</v>
      </c>
    </row>
    <row r="14" spans="1:9" x14ac:dyDescent="0.35">
      <c r="A14" s="1" t="s">
        <v>14</v>
      </c>
      <c r="B14" s="16">
        <f>SUM(B11:B13)</f>
        <v>6000</v>
      </c>
      <c r="C14" s="16">
        <f t="shared" ref="C14:E14" si="0">SUM(C11:C13)</f>
        <v>4000</v>
      </c>
      <c r="D14" s="16">
        <f t="shared" si="0"/>
        <v>2000</v>
      </c>
      <c r="E14" s="16">
        <f t="shared" si="0"/>
        <v>1500</v>
      </c>
    </row>
    <row r="16" spans="1:9" x14ac:dyDescent="0.35">
      <c r="A16" s="1" t="s">
        <v>11</v>
      </c>
      <c r="B16" s="14">
        <f>SUMPRODUCT(B3:E5,B11:E13)</f>
        <v>39500</v>
      </c>
    </row>
    <row r="17" spans="1:12" x14ac:dyDescent="0.35">
      <c r="A17" s="1" t="s">
        <v>26</v>
      </c>
      <c r="B17" s="1">
        <v>39500</v>
      </c>
    </row>
    <row r="18" spans="1:12" x14ac:dyDescent="0.35">
      <c r="A18" s="1" t="s">
        <v>29</v>
      </c>
      <c r="B18" s="18">
        <f>SUM(C12,C13,D13,D11,E11,E13)</f>
        <v>2500.0000000000009</v>
      </c>
      <c r="D18" s="1" t="s">
        <v>30</v>
      </c>
      <c r="L18" s="1" t="s">
        <v>31</v>
      </c>
    </row>
    <row r="19" spans="1:12" x14ac:dyDescent="0.35">
      <c r="D19" s="1" t="s">
        <v>32</v>
      </c>
    </row>
    <row r="20" spans="1:12" x14ac:dyDescent="0.35">
      <c r="A20" s="1" t="s">
        <v>19</v>
      </c>
    </row>
    <row r="21" spans="1:12" x14ac:dyDescent="0.35">
      <c r="A21" s="1" t="s">
        <v>20</v>
      </c>
    </row>
    <row r="22" spans="1:12" x14ac:dyDescent="0.35">
      <c r="B22" s="1" t="s">
        <v>21</v>
      </c>
    </row>
    <row r="23" spans="1:12" x14ac:dyDescent="0.35">
      <c r="A23" s="1" t="s">
        <v>23</v>
      </c>
    </row>
    <row r="25" spans="1:12" x14ac:dyDescent="0.35">
      <c r="A25" s="1" t="s">
        <v>24</v>
      </c>
    </row>
    <row r="27" spans="1:12" x14ac:dyDescent="0.35">
      <c r="A27" s="1" t="s">
        <v>25</v>
      </c>
      <c r="B27" s="1">
        <v>39500</v>
      </c>
    </row>
    <row r="33" spans="1:1" x14ac:dyDescent="0.35">
      <c r="A33" s="1" t="s">
        <v>22</v>
      </c>
    </row>
    <row r="35" spans="1:1" x14ac:dyDescent="0.35">
      <c r="A35" s="1" t="s">
        <v>28</v>
      </c>
    </row>
    <row r="36" spans="1:1" x14ac:dyDescent="0.35">
      <c r="A36" s="1" t="s">
        <v>27</v>
      </c>
    </row>
  </sheetData>
  <mergeCells count="2">
    <mergeCell ref="B1:E1"/>
    <mergeCell ref="B9:E9"/>
  </mergeCells>
  <printOptions headings="1" gridLines="1"/>
  <pageMargins left="0.75" right="0.75" top="1" bottom="1" header="0.5" footer="5.14"/>
  <pageSetup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zoomScale="130" zoomScaleNormal="130" workbookViewId="0">
      <selection activeCell="F16" sqref="F16"/>
    </sheetView>
  </sheetViews>
  <sheetFormatPr defaultColWidth="9.1796875" defaultRowHeight="15.5" x14ac:dyDescent="0.35"/>
  <cols>
    <col min="1" max="1" width="19.26953125" style="1" bestFit="1" customWidth="1"/>
    <col min="2" max="2" width="11" style="1" bestFit="1" customWidth="1"/>
    <col min="3" max="3" width="8.26953125" style="1" customWidth="1"/>
    <col min="4" max="4" width="8.7265625" style="1" bestFit="1" customWidth="1"/>
    <col min="5" max="5" width="9.54296875" style="1" bestFit="1" customWidth="1"/>
    <col min="6" max="6" width="9.6328125" style="1" customWidth="1"/>
    <col min="7" max="7" width="9.1796875" style="1" customWidth="1"/>
    <col min="8" max="8" width="10.26953125" style="1" customWidth="1"/>
    <col min="9" max="16384" width="9.1796875" style="1"/>
  </cols>
  <sheetData>
    <row r="1" spans="1:9" x14ac:dyDescent="0.35">
      <c r="A1" s="1" t="s">
        <v>10</v>
      </c>
      <c r="B1" s="17" t="s">
        <v>0</v>
      </c>
      <c r="C1" s="17"/>
      <c r="D1" s="17"/>
      <c r="E1" s="17"/>
    </row>
    <row r="2" spans="1:9" ht="16" thickBot="1" x14ac:dyDescent="0.4">
      <c r="A2" s="2" t="s">
        <v>1</v>
      </c>
      <c r="B2" s="3" t="s">
        <v>7</v>
      </c>
      <c r="C2" s="3" t="s">
        <v>12</v>
      </c>
      <c r="D2" s="3" t="s">
        <v>8</v>
      </c>
      <c r="E2" s="3" t="s">
        <v>9</v>
      </c>
      <c r="F2" s="13" t="s">
        <v>2</v>
      </c>
    </row>
    <row r="3" spans="1:9" x14ac:dyDescent="0.35">
      <c r="A3" s="1" t="s">
        <v>4</v>
      </c>
      <c r="B3" s="4">
        <v>3</v>
      </c>
      <c r="C3" s="5">
        <v>2</v>
      </c>
      <c r="D3" s="5">
        <v>7</v>
      </c>
      <c r="E3" s="6">
        <v>6</v>
      </c>
      <c r="F3" s="1">
        <v>5000</v>
      </c>
    </row>
    <row r="4" spans="1:9" x14ac:dyDescent="0.35">
      <c r="A4" s="1" t="s">
        <v>5</v>
      </c>
      <c r="B4" s="7">
        <v>6</v>
      </c>
      <c r="C4" s="8">
        <v>5</v>
      </c>
      <c r="D4" s="8">
        <v>2</v>
      </c>
      <c r="E4" s="9">
        <v>3</v>
      </c>
      <c r="F4" s="1">
        <v>6000</v>
      </c>
    </row>
    <row r="5" spans="1:9" ht="16" thickBot="1" x14ac:dyDescent="0.4">
      <c r="A5" s="1" t="s">
        <v>6</v>
      </c>
      <c r="B5" s="10">
        <v>2</v>
      </c>
      <c r="C5" s="11">
        <v>5</v>
      </c>
      <c r="D5" s="11">
        <v>4</v>
      </c>
      <c r="E5" s="12">
        <v>5</v>
      </c>
      <c r="F5" s="1">
        <v>2500</v>
      </c>
    </row>
    <row r="6" spans="1:9" x14ac:dyDescent="0.35">
      <c r="A6" s="2" t="s">
        <v>3</v>
      </c>
      <c r="B6" s="1">
        <v>6000</v>
      </c>
      <c r="C6" s="1">
        <v>4000</v>
      </c>
      <c r="D6" s="1">
        <v>2000</v>
      </c>
      <c r="E6" s="1">
        <v>1500</v>
      </c>
    </row>
    <row r="7" spans="1:9" x14ac:dyDescent="0.35">
      <c r="A7" s="2"/>
    </row>
    <row r="9" spans="1:9" x14ac:dyDescent="0.35">
      <c r="A9" s="1" t="s">
        <v>13</v>
      </c>
      <c r="B9" s="17" t="s">
        <v>0</v>
      </c>
      <c r="C9" s="17"/>
      <c r="D9" s="17"/>
      <c r="E9" s="17"/>
    </row>
    <row r="10" spans="1:9" x14ac:dyDescent="0.35">
      <c r="A10" s="2" t="s">
        <v>1</v>
      </c>
      <c r="B10" s="3" t="s">
        <v>7</v>
      </c>
      <c r="C10" s="3" t="s">
        <v>12</v>
      </c>
      <c r="D10" s="3" t="s">
        <v>8</v>
      </c>
      <c r="E10" s="3" t="s">
        <v>9</v>
      </c>
      <c r="F10" s="1" t="s">
        <v>18</v>
      </c>
    </row>
    <row r="11" spans="1:9" x14ac:dyDescent="0.35">
      <c r="A11" s="1" t="s">
        <v>4</v>
      </c>
      <c r="B11" s="15">
        <v>1000</v>
      </c>
      <c r="C11" s="15">
        <v>4000</v>
      </c>
      <c r="D11" s="15">
        <v>0</v>
      </c>
      <c r="E11" s="15">
        <v>0</v>
      </c>
      <c r="F11" s="18">
        <f>SUM(B11:E11)</f>
        <v>5000</v>
      </c>
      <c r="I11" s="1" t="s">
        <v>15</v>
      </c>
    </row>
    <row r="12" spans="1:9" x14ac:dyDescent="0.35">
      <c r="A12" s="1" t="s">
        <v>5</v>
      </c>
      <c r="B12" s="15">
        <v>2500</v>
      </c>
      <c r="C12" s="15">
        <v>0</v>
      </c>
      <c r="D12" s="15">
        <v>2000</v>
      </c>
      <c r="E12" s="15">
        <v>1500</v>
      </c>
      <c r="F12" s="18">
        <f>SUM(B12:E12)</f>
        <v>6000</v>
      </c>
      <c r="I12" s="1" t="s">
        <v>16</v>
      </c>
    </row>
    <row r="13" spans="1:9" x14ac:dyDescent="0.35">
      <c r="A13" s="1" t="s">
        <v>6</v>
      </c>
      <c r="B13" s="15">
        <v>2500</v>
      </c>
      <c r="C13" s="15">
        <v>0</v>
      </c>
      <c r="D13" s="15">
        <v>0</v>
      </c>
      <c r="E13" s="15">
        <v>0</v>
      </c>
      <c r="F13" s="18">
        <f>SUM(B13:E13)</f>
        <v>2500</v>
      </c>
      <c r="I13" s="1" t="s">
        <v>17</v>
      </c>
    </row>
    <row r="14" spans="1:9" x14ac:dyDescent="0.35">
      <c r="A14" s="1" t="s">
        <v>14</v>
      </c>
      <c r="B14" s="16">
        <f>SUM(B11:B13)</f>
        <v>6000</v>
      </c>
      <c r="C14" s="16">
        <f t="shared" ref="C14:E14" si="0">SUM(C11:C13)</f>
        <v>4000</v>
      </c>
      <c r="D14" s="16">
        <f t="shared" si="0"/>
        <v>2000</v>
      </c>
      <c r="E14" s="16">
        <f t="shared" si="0"/>
        <v>1500</v>
      </c>
    </row>
    <row r="16" spans="1:9" x14ac:dyDescent="0.35">
      <c r="A16" s="1" t="s">
        <v>11</v>
      </c>
      <c r="B16" s="14">
        <f>SUMPRODUCT(B3:E5,B11:E13)</f>
        <v>39500</v>
      </c>
    </row>
  </sheetData>
  <mergeCells count="2">
    <mergeCell ref="B1:E1"/>
    <mergeCell ref="B9:E9"/>
  </mergeCells>
  <phoneticPr fontId="0" type="noConversion"/>
  <printOptions headings="1" gridLines="1"/>
  <pageMargins left="0.75" right="0.75" top="1" bottom="1" header="0.5" footer="5.14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OtherOptimalSolutions</vt:lpstr>
      <vt:lpstr>SearchForAlternative</vt:lpstr>
      <vt:lpstr>Model</vt:lpstr>
      <vt:lpstr>Model!Print_Area</vt:lpstr>
      <vt:lpstr>OtherOptimalSolutions!Print_Area</vt:lpstr>
      <vt:lpstr>SearchForAlternative!Print_Area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McClimon, Anna M</cp:lastModifiedBy>
  <cp:lastPrinted>2018-08-28T16:32:31Z</cp:lastPrinted>
  <dcterms:created xsi:type="dcterms:W3CDTF">1997-09-03T17:48:22Z</dcterms:created>
  <dcterms:modified xsi:type="dcterms:W3CDTF">2026-09-01T18:10:00Z</dcterms:modified>
</cp:coreProperties>
</file>